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bookViews>
    <workbookView xWindow="0" yWindow="0" windowWidth="23040" windowHeight="9264" activeTab="3"/>
  </bookViews>
  <sheets>
    <sheet name="Meal" sheetId="2" r:id="rId1"/>
    <sheet name="Shopping Expense" sheetId="6" r:id="rId2"/>
    <sheet name="Deposit" sheetId="5" r:id="rId3"/>
    <sheet name="Final Report" sheetId="7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36" i="6" l="1"/>
  <c r="F36" i="6"/>
  <c r="G36" i="6"/>
  <c r="H36" i="6"/>
  <c r="I36" i="6"/>
  <c r="J36" i="6"/>
  <c r="K36" i="6"/>
  <c r="L36" i="6"/>
  <c r="M36" i="6"/>
  <c r="N36" i="6"/>
  <c r="E37" i="6" l="1"/>
  <c r="I36" i="2"/>
  <c r="J36" i="2"/>
  <c r="K36" i="2"/>
  <c r="L36" i="2"/>
  <c r="M36" i="2"/>
  <c r="N36" i="2"/>
  <c r="H36" i="2"/>
  <c r="G36" i="2"/>
  <c r="F36" i="2"/>
  <c r="E36" i="2"/>
  <c r="G36" i="5" l="1"/>
  <c r="H7" i="7" s="1"/>
  <c r="H36" i="5"/>
  <c r="H8" i="7" s="1"/>
  <c r="I36" i="5"/>
  <c r="H9" i="7" s="1"/>
  <c r="J36" i="5"/>
  <c r="H10" i="7" s="1"/>
  <c r="K36" i="5"/>
  <c r="H11" i="7" s="1"/>
  <c r="L36" i="5"/>
  <c r="H12" i="7" s="1"/>
  <c r="M36" i="5"/>
  <c r="H13" i="7" s="1"/>
  <c r="N36" i="5"/>
  <c r="H14" i="7" s="1"/>
  <c r="F36" i="5"/>
  <c r="H6" i="7" s="1"/>
  <c r="E36" i="5"/>
  <c r="H5" i="7" s="1"/>
  <c r="E7" i="7"/>
  <c r="E8" i="7"/>
  <c r="E9" i="7"/>
  <c r="E10" i="7"/>
  <c r="E11" i="7"/>
  <c r="E12" i="7"/>
  <c r="E13" i="7"/>
  <c r="E14" i="7"/>
  <c r="E6" i="7"/>
  <c r="E5" i="7"/>
  <c r="E37" i="2" l="1"/>
  <c r="E37" i="5"/>
  <c r="F5" i="7" l="1"/>
  <c r="G5" i="7" s="1"/>
  <c r="I5" i="7" s="1"/>
  <c r="F7" i="7"/>
  <c r="G7" i="7" s="1"/>
  <c r="I7" i="7" s="1"/>
  <c r="F11" i="7"/>
  <c r="G11" i="7" s="1"/>
  <c r="I11" i="7" s="1"/>
  <c r="F8" i="7"/>
  <c r="G8" i="7" s="1"/>
  <c r="I8" i="7" s="1"/>
  <c r="F12" i="7"/>
  <c r="G12" i="7" s="1"/>
  <c r="I12" i="7" s="1"/>
  <c r="F9" i="7"/>
  <c r="G9" i="7" s="1"/>
  <c r="I9" i="7" s="1"/>
  <c r="F13" i="7"/>
  <c r="G13" i="7" s="1"/>
  <c r="I13" i="7" s="1"/>
  <c r="F6" i="7"/>
  <c r="G6" i="7" s="1"/>
  <c r="I6" i="7" s="1"/>
  <c r="F10" i="7"/>
  <c r="G10" i="7" s="1"/>
  <c r="I10" i="7" s="1"/>
  <c r="F14" i="7"/>
  <c r="G14" i="7" s="1"/>
  <c r="I14" i="7" s="1"/>
</calcChain>
</file>

<file path=xl/sharedStrings.xml><?xml version="1.0" encoding="utf-8"?>
<sst xmlns="http://schemas.openxmlformats.org/spreadsheetml/2006/main" count="63" uniqueCount="26">
  <si>
    <t>Date</t>
  </si>
  <si>
    <t>Total Meal</t>
  </si>
  <si>
    <t>Meal</t>
  </si>
  <si>
    <t>Deposit Money</t>
  </si>
  <si>
    <t>Eating Meal</t>
  </si>
  <si>
    <t>Shopping Expense</t>
  </si>
  <si>
    <t>Name</t>
  </si>
  <si>
    <t>Meal Rate</t>
  </si>
  <si>
    <t>Total Tk</t>
  </si>
  <si>
    <t>Deposit</t>
  </si>
  <si>
    <t>Balance</t>
  </si>
  <si>
    <t>Final Report</t>
  </si>
  <si>
    <t>Sub Total</t>
  </si>
  <si>
    <t>Total Expense</t>
  </si>
  <si>
    <t>Total Deposit</t>
  </si>
  <si>
    <t>Name8</t>
  </si>
  <si>
    <t>Name9</t>
  </si>
  <si>
    <t>Name10</t>
  </si>
  <si>
    <t>Scholars Den Meal Management System</t>
  </si>
  <si>
    <t>Siam</t>
  </si>
  <si>
    <t>Moynul</t>
  </si>
  <si>
    <t>Towhid</t>
  </si>
  <si>
    <t>Shovon</t>
  </si>
  <si>
    <t>Shawon</t>
  </si>
  <si>
    <t>Rasel</t>
  </si>
  <si>
    <t>Maruf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</si>
</sst>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;@"/>
  </numFmts>
  <fonts count="10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28"/>
      <color theme="1"/>
      <name val="Adobe Gothic Std B"/>
      <family val="2"/>
      <charset val="128"/>
    </font>
    <font>
      <b/>
      <sz val="20"/>
      <color theme="1"/>
      <name val="Bradley Hand ITC"/>
      <family val="4"/>
    </font>
    <font>
      <b/>
      <sz val="20"/>
      <color theme="1"/>
      <name val="Lemon"/>
    </font>
    <font>
      <sz val="11"/>
      <color theme="1"/>
      <name val="Adobe Gothic Std B"/>
      <family val="2"/>
      <charset val="128"/>
    </font>
    <font>
      <sz val="8"/>
      <name val="Calibri"/>
      <family val="2"/>
      <scheme val="minor"/>
    </font>
    <font>
      <sz val="24"/>
      <color theme="1"/>
      <name val="Adobe Gothic Std B"/>
    </font>
  </fonts>
  <fills count="10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1" xfId="0" applyFont="1" applyBorder="1"/>
    <xf numFmtId="0" fontId="0" fillId="0" borderId="1" xfId="0" applyBorder="1"/>
    <xf numFmtId="0" fontId="1" fillId="0" borderId="1" xfId="0" applyFont="1" applyBorder="1"/>
    <xf numFmtId="0" fontId="7" fillId="0" borderId="0" xfId="0" applyFont="1"/>
    <xf numFmtId="0" fontId="2" fillId="2" borderId="1" xfId="0" applyFont="1" applyFill="1" applyBorder="1"/>
    <xf numFmtId="0" fontId="2" fillId="3" borderId="1" xfId="0" applyFont="1" applyFill="1" applyBorder="1"/>
    <xf numFmtId="0" fontId="0" fillId="0" borderId="0" xfId="0" applyAlignment="1">
      <alignment horizontal="center" vertical="center"/>
    </xf>
    <xf numFmtId="0" fontId="2" fillId="7" borderId="1" xfId="0" applyFont="1" applyFill="1" applyBorder="1"/>
    <xf numFmtId="164" fontId="0" fillId="8" borderId="1" xfId="0" applyNumberFormat="1" applyFill="1" applyBorder="1"/>
    <xf numFmtId="0" fontId="2" fillId="9" borderId="1" xfId="0" applyFont="1" applyFill="1" applyBorder="1"/>
    <xf numFmtId="164" fontId="1" fillId="5" borderId="1" xfId="0" applyNumberFormat="1" applyFont="1" applyFill="1" applyBorder="1"/>
    <xf numFmtId="164" fontId="2" fillId="5" borderId="1" xfId="0" applyNumberFormat="1" applyFont="1" applyFill="1" applyBorder="1"/>
    <xf numFmtId="0" fontId="3" fillId="5" borderId="1" xfId="0" applyFont="1" applyFill="1" applyBorder="1"/>
    <xf numFmtId="0" fontId="2" fillId="5" borderId="1" xfId="0" applyFont="1" applyFill="1" applyBorder="1"/>
    <xf numFmtId="0" fontId="3" fillId="4" borderId="1" xfId="0" applyFont="1" applyFill="1" applyBorder="1"/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17" fontId="5" fillId="5" borderId="1" xfId="0" applyNumberFormat="1" applyFont="1" applyFill="1" applyBorder="1" applyAlignment="1">
      <alignment horizontal="center"/>
    </xf>
    <xf numFmtId="17" fontId="6" fillId="6" borderId="1" xfId="0" applyNumberFormat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rgb="FFFF00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D1:R37"/>
  <sheetViews>
    <sheetView workbookViewId="0">
      <selection activeCell="P13" sqref="P13"/>
    </sheetView>
  </sheetViews>
  <sheetFormatPr defaultRowHeight="14.4"/>
  <cols>
    <col min="4" max="4" width="13.5546875" bestFit="1" customWidth="1"/>
    <col min="5" max="5" width="9.109375" customWidth="1"/>
    <col min="6" max="6" width="9.6640625" customWidth="1"/>
    <col min="13" max="13" width="9.109375" customWidth="1"/>
    <col min="14" max="14" width="10.5546875" customWidth="1"/>
  </cols>
  <sheetData>
    <row r="1" spans="4:18" ht="45.75" customHeight="1">
      <c r="D1" s="16" t="s">
        <v>18</v>
      </c>
      <c r="E1" s="17"/>
      <c r="F1" s="17"/>
      <c r="G1" s="17"/>
      <c r="H1" s="17"/>
      <c r="I1" s="17"/>
      <c r="J1" s="17"/>
      <c r="K1" s="17"/>
      <c r="L1" s="17"/>
      <c r="M1" s="17"/>
      <c r="N1" s="18"/>
    </row>
    <row r="2" spans="4:18" ht="28.2">
      <c r="D2" s="19" t="s">
        <v>4</v>
      </c>
      <c r="E2" s="19"/>
      <c r="F2" s="19"/>
      <c r="G2" s="19"/>
      <c r="H2" s="19"/>
      <c r="I2" s="19"/>
      <c r="J2" s="19"/>
      <c r="K2" s="19"/>
      <c r="L2" s="19"/>
      <c r="M2" s="19"/>
      <c r="N2" s="19"/>
    </row>
    <row r="3" spans="4:18" ht="24.6">
      <c r="D3" s="20">
        <v>45778</v>
      </c>
      <c r="E3" s="20"/>
      <c r="F3" s="20"/>
      <c r="G3" s="20"/>
      <c r="H3" s="20"/>
      <c r="I3" s="20"/>
      <c r="J3" s="20"/>
      <c r="K3" s="20"/>
      <c r="L3" s="20"/>
      <c r="M3" s="20"/>
      <c r="N3" s="20"/>
    </row>
    <row r="4" spans="4:18" ht="18">
      <c r="D4" s="10" t="s">
        <v>0</v>
      </c>
      <c r="E4" s="10" t="s">
        <v>19</v>
      </c>
      <c r="F4" s="10" t="s">
        <v>20</v>
      </c>
      <c r="G4" s="10" t="s">
        <v>21</v>
      </c>
      <c r="H4" s="10" t="s">
        <v>22</v>
      </c>
      <c r="I4" s="10" t="s">
        <v>23</v>
      </c>
      <c r="J4" s="10" t="s">
        <v>24</v>
      </c>
      <c r="K4" s="10" t="s">
        <v>25</v>
      </c>
      <c r="L4" s="10" t="s">
        <v>15</v>
      </c>
      <c r="M4" s="10" t="s">
        <v>16</v>
      </c>
      <c r="N4" s="10" t="s">
        <v>17</v>
      </c>
    </row>
    <row r="5" spans="4:18">
      <c r="D5" s="9">
        <v>45778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</row>
    <row r="6" spans="4:18">
      <c r="D6" s="9">
        <v>45779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</row>
    <row r="7" spans="4:18">
      <c r="D7" s="9">
        <v>45780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</row>
    <row r="8" spans="4:18">
      <c r="D8" s="9">
        <v>45781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R8" s="4"/>
    </row>
    <row r="9" spans="4:18">
      <c r="D9" s="9">
        <v>45782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</row>
    <row r="10" spans="4:18">
      <c r="D10" s="9">
        <v>45783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</row>
    <row r="11" spans="4:18">
      <c r="D11" s="9">
        <v>45784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</row>
    <row r="12" spans="4:18">
      <c r="D12" s="9">
        <v>45785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</row>
    <row r="13" spans="4:18">
      <c r="D13" s="9">
        <v>45786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</row>
    <row r="14" spans="4:18">
      <c r="D14" s="9">
        <v>45787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</row>
    <row r="15" spans="4:18">
      <c r="D15" s="9">
        <v>45788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</row>
    <row r="16" spans="4:18">
      <c r="D16" s="9">
        <v>45789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</row>
    <row r="17" spans="4:14">
      <c r="D17" s="9">
        <v>45790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</row>
    <row r="18" spans="4:14">
      <c r="D18" s="9">
        <v>45791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</row>
    <row r="19" spans="4:14">
      <c r="D19" s="9">
        <v>45792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</row>
    <row r="20" spans="4:14">
      <c r="D20" s="9">
        <v>45793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</row>
    <row r="21" spans="4:14">
      <c r="D21" s="9">
        <v>45794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</row>
    <row r="22" spans="4:14">
      <c r="D22" s="9">
        <v>45795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</row>
    <row r="23" spans="4:14">
      <c r="D23" s="9">
        <v>45796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</row>
    <row r="24" spans="4:14">
      <c r="D24" s="9">
        <v>45797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</row>
    <row r="25" spans="4:14">
      <c r="D25" s="9">
        <v>45798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</row>
    <row r="26" spans="4:14">
      <c r="D26" s="9">
        <v>45799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</row>
    <row r="27" spans="4:14">
      <c r="D27" s="9">
        <v>45800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</row>
    <row r="28" spans="4:14">
      <c r="D28" s="9">
        <v>45801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</row>
    <row r="29" spans="4:14">
      <c r="D29" s="9">
        <v>45802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</row>
    <row r="30" spans="4:14">
      <c r="D30" s="9">
        <v>45803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</row>
    <row r="31" spans="4:14">
      <c r="D31" s="9">
        <v>45804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</row>
    <row r="32" spans="4:14">
      <c r="D32" s="9">
        <v>45805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</row>
    <row r="33" spans="4:14">
      <c r="D33" s="9">
        <v>45806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</row>
    <row r="34" spans="4:14">
      <c r="D34" s="9">
        <v>45807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</row>
    <row r="35" spans="4:14">
      <c r="D35" s="9">
        <v>45808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</row>
    <row r="36" spans="4:14" ht="18">
      <c r="D36" s="6" t="s">
        <v>1</v>
      </c>
      <c r="E36" s="6">
        <f>SUM(E5:E35)</f>
        <v>0</v>
      </c>
      <c r="F36" s="6">
        <f>SUM(F5:F35)</f>
        <v>0</v>
      </c>
      <c r="G36" s="6">
        <f t="shared" ref="G36:N36" si="0">SUM(G5:G35)</f>
        <v>0</v>
      </c>
      <c r="H36" s="6">
        <f t="shared" si="0"/>
        <v>0</v>
      </c>
      <c r="I36" s="6">
        <f t="shared" si="0"/>
        <v>0</v>
      </c>
      <c r="J36" s="6">
        <f t="shared" si="0"/>
        <v>0</v>
      </c>
      <c r="K36" s="6">
        <f t="shared" si="0"/>
        <v>0</v>
      </c>
      <c r="L36" s="6">
        <f t="shared" si="0"/>
        <v>0</v>
      </c>
      <c r="M36" s="6">
        <f t="shared" si="0"/>
        <v>0</v>
      </c>
      <c r="N36" s="6">
        <f t="shared" si="0"/>
        <v>0</v>
      </c>
    </row>
    <row r="37" spans="4:14" ht="18">
      <c r="D37" s="8" t="s">
        <v>12</v>
      </c>
      <c r="E37" s="8">
        <f>SUM(E36:N36)</f>
        <v>0</v>
      </c>
    </row>
  </sheetData>
  <mergeCells count="3">
    <mergeCell ref="D1:N1"/>
    <mergeCell ref="D2:N2"/>
    <mergeCell ref="D3:N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39997558519241921"/>
  </sheetPr>
  <dimension ref="D1:N37"/>
  <sheetViews>
    <sheetView topLeftCell="A10" workbookViewId="0">
      <selection activeCell="P9" sqref="P9"/>
    </sheetView>
  </sheetViews>
  <sheetFormatPr defaultRowHeight="14.4"/>
  <cols>
    <col min="4" max="4" width="16.6640625" customWidth="1"/>
    <col min="6" max="6" width="9.88671875" customWidth="1"/>
    <col min="13" max="13" width="9.109375" customWidth="1"/>
    <col min="14" max="14" width="10.5546875" customWidth="1"/>
  </cols>
  <sheetData>
    <row r="1" spans="4:14" ht="45.75" customHeight="1">
      <c r="D1" s="16" t="s">
        <v>18</v>
      </c>
      <c r="E1" s="17"/>
      <c r="F1" s="17"/>
      <c r="G1" s="17"/>
      <c r="H1" s="17"/>
      <c r="I1" s="17"/>
      <c r="J1" s="17"/>
      <c r="K1" s="17"/>
      <c r="L1" s="17"/>
      <c r="M1" s="17"/>
      <c r="N1" s="18"/>
    </row>
    <row r="2" spans="4:14" ht="28.2">
      <c r="D2" s="19" t="s">
        <v>5</v>
      </c>
      <c r="E2" s="19"/>
      <c r="F2" s="19"/>
      <c r="G2" s="19"/>
      <c r="H2" s="19"/>
      <c r="I2" s="19"/>
      <c r="J2" s="19"/>
      <c r="K2" s="19"/>
      <c r="L2" s="19"/>
      <c r="M2" s="19"/>
      <c r="N2" s="19"/>
    </row>
    <row r="3" spans="4:14" ht="24.6">
      <c r="D3" s="20">
        <v>45778</v>
      </c>
      <c r="E3" s="20"/>
      <c r="F3" s="20"/>
      <c r="G3" s="20"/>
      <c r="H3" s="20"/>
      <c r="I3" s="20"/>
      <c r="J3" s="20"/>
      <c r="K3" s="20"/>
      <c r="L3" s="20"/>
      <c r="M3" s="20"/>
      <c r="N3" s="20"/>
    </row>
    <row r="4" spans="4:14" ht="18">
      <c r="D4" s="10" t="s">
        <v>0</v>
      </c>
      <c r="E4" s="10" t="s">
        <v>19</v>
      </c>
      <c r="F4" s="10" t="s">
        <v>20</v>
      </c>
      <c r="G4" s="10" t="s">
        <v>21</v>
      </c>
      <c r="H4" s="10" t="s">
        <v>22</v>
      </c>
      <c r="I4" s="10" t="s">
        <v>23</v>
      </c>
      <c r="J4" s="10" t="s">
        <v>24</v>
      </c>
      <c r="K4" s="10" t="s">
        <v>25</v>
      </c>
      <c r="L4" s="10" t="s">
        <v>15</v>
      </c>
      <c r="M4" s="10" t="s">
        <v>16</v>
      </c>
      <c r="N4" s="10" t="s">
        <v>17</v>
      </c>
    </row>
    <row r="5" spans="4:14" ht="18">
      <c r="D5" s="11">
        <v>45778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</row>
    <row r="6" spans="4:14" ht="18">
      <c r="D6" s="11">
        <v>45779</v>
      </c>
      <c r="E6" s="3">
        <v>0</v>
      </c>
      <c r="F6" s="3"/>
      <c r="G6" s="3"/>
      <c r="H6" s="3"/>
      <c r="I6" s="3"/>
      <c r="J6" s="3"/>
      <c r="K6" s="3"/>
      <c r="L6" s="3"/>
      <c r="M6" s="3"/>
      <c r="N6" s="3"/>
    </row>
    <row r="7" spans="4:14" ht="18">
      <c r="D7" s="11">
        <v>45780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</row>
    <row r="8" spans="4:14" ht="18">
      <c r="D8" s="11">
        <v>45781</v>
      </c>
      <c r="E8" s="3">
        <v>0</v>
      </c>
      <c r="F8" s="3"/>
      <c r="G8" s="3"/>
      <c r="H8" s="3"/>
      <c r="I8" s="3"/>
      <c r="J8" s="3"/>
      <c r="K8" s="3"/>
      <c r="L8" s="3"/>
      <c r="M8" s="3"/>
      <c r="N8" s="3"/>
    </row>
    <row r="9" spans="4:14" ht="18">
      <c r="D9" s="11">
        <v>45782</v>
      </c>
      <c r="E9" s="3">
        <v>0</v>
      </c>
      <c r="F9" s="3"/>
      <c r="G9" s="3"/>
      <c r="H9" s="3"/>
      <c r="I9" s="3"/>
      <c r="J9" s="3"/>
      <c r="K9" s="3"/>
      <c r="L9" s="3"/>
      <c r="M9" s="3"/>
      <c r="N9" s="3"/>
    </row>
    <row r="10" spans="4:14" ht="18">
      <c r="D10" s="11">
        <v>45783</v>
      </c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</row>
    <row r="11" spans="4:14" ht="18">
      <c r="D11" s="11">
        <v>45784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</row>
    <row r="12" spans="4:14" ht="18">
      <c r="D12" s="11">
        <v>45785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</row>
    <row r="13" spans="4:14" ht="18">
      <c r="D13" s="11">
        <v>45786</v>
      </c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</row>
    <row r="14" spans="4:14" ht="18">
      <c r="D14" s="11">
        <v>45787</v>
      </c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</row>
    <row r="15" spans="4:14" ht="18">
      <c r="D15" s="11">
        <v>45788</v>
      </c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</row>
    <row r="16" spans="4:14" ht="18">
      <c r="D16" s="11">
        <v>45789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</row>
    <row r="17" spans="4:14" ht="18">
      <c r="D17" s="11">
        <v>45790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</row>
    <row r="18" spans="4:14" ht="18">
      <c r="D18" s="11">
        <v>45791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</row>
    <row r="19" spans="4:14" ht="18">
      <c r="D19" s="11">
        <v>45792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</row>
    <row r="20" spans="4:14" ht="18">
      <c r="D20" s="11">
        <v>45793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</row>
    <row r="21" spans="4:14" ht="18">
      <c r="D21" s="11">
        <v>45794</v>
      </c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</row>
    <row r="22" spans="4:14" ht="18">
      <c r="D22" s="11">
        <v>45795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</row>
    <row r="23" spans="4:14" ht="18">
      <c r="D23" s="11">
        <v>45796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</row>
    <row r="24" spans="4:14" ht="18">
      <c r="D24" s="11">
        <v>45797</v>
      </c>
      <c r="E24" s="3">
        <v>0</v>
      </c>
      <c r="F24" s="3"/>
      <c r="G24" s="3"/>
      <c r="H24" s="3"/>
      <c r="I24" s="3"/>
      <c r="J24" s="3"/>
      <c r="K24" s="3"/>
      <c r="L24" s="3"/>
      <c r="M24" s="3"/>
      <c r="N24" s="3"/>
    </row>
    <row r="25" spans="4:14" ht="18">
      <c r="D25" s="11">
        <v>45798</v>
      </c>
      <c r="E25" s="3">
        <v>0</v>
      </c>
      <c r="F25" s="3"/>
      <c r="G25" s="3"/>
      <c r="H25" s="3"/>
      <c r="I25" s="3"/>
      <c r="J25" s="3"/>
      <c r="K25" s="3"/>
      <c r="L25" s="3"/>
      <c r="M25" s="3"/>
      <c r="N25" s="3"/>
    </row>
    <row r="26" spans="4:14" ht="18">
      <c r="D26" s="11">
        <v>45799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</row>
    <row r="27" spans="4:14" ht="18">
      <c r="D27" s="11">
        <v>45800</v>
      </c>
      <c r="E27" s="3">
        <v>0</v>
      </c>
      <c r="F27" s="3"/>
      <c r="G27" s="3"/>
      <c r="H27" s="3"/>
      <c r="I27" s="3"/>
      <c r="J27" s="3"/>
      <c r="K27" s="3"/>
      <c r="L27" s="3"/>
      <c r="M27" s="3"/>
      <c r="N27" s="3"/>
    </row>
    <row r="28" spans="4:14" ht="18">
      <c r="D28" s="11">
        <v>45801</v>
      </c>
      <c r="E28" s="3">
        <v>0</v>
      </c>
      <c r="F28" s="3"/>
      <c r="G28" s="3"/>
      <c r="H28" s="3"/>
      <c r="I28" s="3"/>
      <c r="J28" s="3"/>
      <c r="K28" s="3"/>
      <c r="L28" s="3"/>
      <c r="M28" s="3"/>
      <c r="N28" s="3"/>
    </row>
    <row r="29" spans="4:14" ht="18">
      <c r="D29" s="11">
        <v>45802</v>
      </c>
      <c r="E29" s="3">
        <v>0</v>
      </c>
      <c r="F29" s="3"/>
      <c r="G29" s="3"/>
      <c r="H29" s="3"/>
      <c r="I29" s="3"/>
      <c r="J29" s="3"/>
      <c r="K29" s="3"/>
      <c r="L29" s="3"/>
      <c r="M29" s="3"/>
      <c r="N29" s="3"/>
    </row>
    <row r="30" spans="4:14" ht="18">
      <c r="D30" s="11">
        <v>45803</v>
      </c>
      <c r="E30" s="3"/>
      <c r="F30" s="3"/>
      <c r="G30" s="3"/>
      <c r="H30" s="3"/>
      <c r="I30" s="3"/>
      <c r="J30" s="3"/>
      <c r="K30" s="3"/>
      <c r="L30" s="3"/>
      <c r="M30" s="3"/>
      <c r="N30" s="3"/>
    </row>
    <row r="31" spans="4:14" ht="18">
      <c r="D31" s="11">
        <v>45804</v>
      </c>
      <c r="E31" s="3"/>
      <c r="F31" s="3"/>
      <c r="G31" s="3"/>
      <c r="H31" s="3"/>
      <c r="I31" s="3"/>
      <c r="J31" s="3"/>
      <c r="K31" s="3"/>
      <c r="L31" s="3"/>
      <c r="M31" s="3"/>
      <c r="N31" s="3"/>
    </row>
    <row r="32" spans="4:14" ht="18">
      <c r="D32" s="11">
        <v>45805</v>
      </c>
      <c r="E32" s="3"/>
      <c r="F32" s="3"/>
      <c r="G32" s="3"/>
      <c r="H32" s="3"/>
      <c r="I32" s="3"/>
      <c r="J32" s="3"/>
      <c r="K32" s="3"/>
      <c r="L32" s="3"/>
      <c r="M32" s="3"/>
      <c r="N32" s="3"/>
    </row>
    <row r="33" spans="4:14" ht="18">
      <c r="D33" s="11">
        <v>45806</v>
      </c>
      <c r="E33" s="3"/>
      <c r="F33" s="3"/>
      <c r="G33" s="3"/>
      <c r="H33" s="3"/>
      <c r="I33" s="3"/>
      <c r="J33" s="3"/>
      <c r="K33" s="3"/>
      <c r="L33" s="3"/>
      <c r="M33" s="3"/>
      <c r="N33" s="3"/>
    </row>
    <row r="34" spans="4:14" ht="18">
      <c r="D34" s="11">
        <v>45807</v>
      </c>
      <c r="E34" s="3"/>
      <c r="F34" s="3"/>
      <c r="G34" s="3"/>
      <c r="H34" s="3"/>
      <c r="I34" s="3"/>
      <c r="J34" s="3"/>
      <c r="K34" s="3"/>
      <c r="L34" s="3"/>
      <c r="M34" s="3"/>
      <c r="N34" s="3"/>
    </row>
    <row r="35" spans="4:14" ht="18">
      <c r="D35" s="11">
        <v>45808</v>
      </c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4:14" ht="18">
      <c r="D36" s="6" t="s">
        <v>13</v>
      </c>
      <c r="E36" s="6">
        <f t="shared" ref="E36:N36" si="0">SUM(E5:E35)</f>
        <v>0</v>
      </c>
      <c r="F36" s="6">
        <f t="shared" si="0"/>
        <v>0</v>
      </c>
      <c r="G36" s="6">
        <f t="shared" si="0"/>
        <v>0</v>
      </c>
      <c r="H36" s="6">
        <f t="shared" si="0"/>
        <v>0</v>
      </c>
      <c r="I36" s="6">
        <f t="shared" si="0"/>
        <v>0</v>
      </c>
      <c r="J36" s="6">
        <f t="shared" si="0"/>
        <v>0</v>
      </c>
      <c r="K36" s="6">
        <f t="shared" si="0"/>
        <v>0</v>
      </c>
      <c r="L36" s="6">
        <f t="shared" si="0"/>
        <v>0</v>
      </c>
      <c r="M36" s="6">
        <f t="shared" si="0"/>
        <v>0</v>
      </c>
      <c r="N36" s="6">
        <f t="shared" si="0"/>
        <v>0</v>
      </c>
    </row>
    <row r="37" spans="4:14" ht="18">
      <c r="D37" s="8" t="s">
        <v>12</v>
      </c>
      <c r="E37" s="8">
        <f>SUM(E36:N36)</f>
        <v>0</v>
      </c>
    </row>
  </sheetData>
  <mergeCells count="3">
    <mergeCell ref="D1:N1"/>
    <mergeCell ref="D2:N2"/>
    <mergeCell ref="D3:N3"/>
  </mergeCells>
  <phoneticPr fontId="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D1:N37"/>
  <sheetViews>
    <sheetView workbookViewId="0">
      <selection activeCell="O31" sqref="O31"/>
    </sheetView>
  </sheetViews>
  <sheetFormatPr defaultRowHeight="14.4"/>
  <cols>
    <col min="4" max="4" width="16.109375" customWidth="1"/>
    <col min="6" max="6" width="9.5546875" customWidth="1"/>
    <col min="13" max="13" width="9.109375" customWidth="1"/>
    <col min="14" max="14" width="10.6640625" customWidth="1"/>
  </cols>
  <sheetData>
    <row r="1" spans="4:14" ht="45.75" customHeight="1">
      <c r="D1" s="21" t="s">
        <v>18</v>
      </c>
      <c r="E1" s="22"/>
      <c r="F1" s="22"/>
      <c r="G1" s="22"/>
      <c r="H1" s="22"/>
      <c r="I1" s="22"/>
      <c r="J1" s="22"/>
      <c r="K1" s="22"/>
      <c r="L1" s="22"/>
      <c r="M1" s="22"/>
      <c r="N1" s="23"/>
    </row>
    <row r="2" spans="4:14" ht="28.2">
      <c r="D2" s="19" t="s">
        <v>3</v>
      </c>
      <c r="E2" s="19"/>
      <c r="F2" s="19"/>
      <c r="G2" s="19"/>
      <c r="H2" s="19"/>
      <c r="I2" s="19"/>
      <c r="J2" s="19"/>
      <c r="K2" s="19"/>
      <c r="L2" s="19"/>
      <c r="M2" s="19"/>
      <c r="N2" s="19"/>
    </row>
    <row r="3" spans="4:14" ht="24.6">
      <c r="D3" s="20">
        <v>45778</v>
      </c>
      <c r="E3" s="20"/>
      <c r="F3" s="20"/>
      <c r="G3" s="20"/>
      <c r="H3" s="20"/>
      <c r="I3" s="20"/>
      <c r="J3" s="20"/>
      <c r="K3" s="20"/>
      <c r="L3" s="20"/>
      <c r="M3" s="20"/>
      <c r="N3" s="20"/>
    </row>
    <row r="4" spans="4:14" ht="18">
      <c r="D4" s="10" t="s">
        <v>0</v>
      </c>
      <c r="E4" s="10" t="s">
        <v>19</v>
      </c>
      <c r="F4" s="10" t="s">
        <v>20</v>
      </c>
      <c r="G4" s="10" t="s">
        <v>21</v>
      </c>
      <c r="H4" s="10" t="s">
        <v>22</v>
      </c>
      <c r="I4" s="10" t="s">
        <v>23</v>
      </c>
      <c r="J4" s="10" t="s">
        <v>24</v>
      </c>
      <c r="K4" s="10" t="s">
        <v>25</v>
      </c>
      <c r="L4" s="10" t="s">
        <v>15</v>
      </c>
      <c r="M4" s="10" t="s">
        <v>16</v>
      </c>
      <c r="N4" s="10" t="s">
        <v>17</v>
      </c>
    </row>
    <row r="5" spans="4:14" ht="18">
      <c r="D5" s="12">
        <v>45778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/>
      <c r="M5" s="1"/>
      <c r="N5" s="1"/>
    </row>
    <row r="6" spans="4:14" ht="18">
      <c r="D6" s="12">
        <v>45779</v>
      </c>
      <c r="E6" s="1">
        <v>0</v>
      </c>
      <c r="F6" s="1">
        <v>0</v>
      </c>
      <c r="G6" s="1">
        <v>0</v>
      </c>
      <c r="H6" s="1"/>
      <c r="I6" s="1">
        <v>0</v>
      </c>
      <c r="J6" s="1">
        <v>0</v>
      </c>
      <c r="K6" s="1">
        <v>0</v>
      </c>
      <c r="L6" s="1"/>
      <c r="M6" s="1"/>
      <c r="N6" s="1"/>
    </row>
    <row r="7" spans="4:14" ht="18">
      <c r="D7" s="12">
        <v>45780</v>
      </c>
      <c r="E7" s="1">
        <v>0</v>
      </c>
      <c r="F7" s="1">
        <v>0</v>
      </c>
      <c r="G7" s="1">
        <v>0</v>
      </c>
      <c r="H7" s="1"/>
      <c r="I7" s="1">
        <v>0</v>
      </c>
      <c r="J7" s="1">
        <v>0</v>
      </c>
      <c r="K7" s="1">
        <v>0</v>
      </c>
      <c r="L7" s="1"/>
      <c r="M7" s="1"/>
      <c r="N7" s="1"/>
    </row>
    <row r="8" spans="4:14" ht="18">
      <c r="D8" s="12">
        <v>45781</v>
      </c>
      <c r="E8" s="1">
        <v>0</v>
      </c>
      <c r="F8" s="1">
        <v>0</v>
      </c>
      <c r="G8" s="1">
        <v>0</v>
      </c>
      <c r="H8" s="1"/>
      <c r="I8" s="1">
        <v>0</v>
      </c>
      <c r="J8" s="1">
        <v>0</v>
      </c>
      <c r="K8" s="1">
        <v>0</v>
      </c>
      <c r="L8" s="1"/>
      <c r="M8" s="1"/>
      <c r="N8" s="1"/>
    </row>
    <row r="9" spans="4:14" ht="18">
      <c r="D9" s="12">
        <v>45782</v>
      </c>
      <c r="E9" s="1">
        <v>0</v>
      </c>
      <c r="F9" s="1">
        <v>0</v>
      </c>
      <c r="G9" s="1">
        <v>0</v>
      </c>
      <c r="H9" s="1"/>
      <c r="I9" s="1">
        <v>0</v>
      </c>
      <c r="J9" s="1">
        <v>0</v>
      </c>
      <c r="K9" s="1">
        <v>0</v>
      </c>
      <c r="L9" s="1"/>
      <c r="M9" s="1"/>
      <c r="N9" s="1"/>
    </row>
    <row r="10" spans="4:14" ht="18">
      <c r="D10" s="12">
        <v>45783</v>
      </c>
      <c r="E10" s="1">
        <v>0</v>
      </c>
      <c r="F10" s="1">
        <v>0</v>
      </c>
      <c r="G10" s="1">
        <v>0</v>
      </c>
      <c r="H10" s="1"/>
      <c r="I10" s="1">
        <v>0</v>
      </c>
      <c r="J10" s="1">
        <v>0</v>
      </c>
      <c r="K10" s="1">
        <v>0</v>
      </c>
      <c r="L10" s="1"/>
      <c r="M10" s="1"/>
      <c r="N10" s="1"/>
    </row>
    <row r="11" spans="4:14" ht="18">
      <c r="D11" s="12">
        <v>45784</v>
      </c>
      <c r="E11" s="1">
        <v>0</v>
      </c>
      <c r="F11" s="1">
        <v>0</v>
      </c>
      <c r="G11" s="1">
        <v>0</v>
      </c>
      <c r="H11" s="1"/>
      <c r="I11" s="1">
        <v>0</v>
      </c>
      <c r="J11" s="1">
        <v>0</v>
      </c>
      <c r="K11" s="1">
        <v>0</v>
      </c>
      <c r="L11" s="1"/>
      <c r="M11" s="1"/>
      <c r="N11" s="1"/>
    </row>
    <row r="12" spans="4:14" ht="18">
      <c r="D12" s="12">
        <v>45785</v>
      </c>
      <c r="E12" s="1">
        <v>0</v>
      </c>
      <c r="F12" s="1">
        <v>0</v>
      </c>
      <c r="G12" s="1">
        <v>0</v>
      </c>
      <c r="H12" s="1"/>
      <c r="I12" s="1">
        <v>0</v>
      </c>
      <c r="J12" s="1">
        <v>0</v>
      </c>
      <c r="K12" s="1">
        <v>0</v>
      </c>
      <c r="L12" s="1"/>
      <c r="M12" s="1"/>
      <c r="N12" s="1"/>
    </row>
    <row r="13" spans="4:14" ht="18">
      <c r="D13" s="12">
        <v>45786</v>
      </c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4:14" ht="18">
      <c r="D14" s="12">
        <v>45787</v>
      </c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4:14" ht="18">
      <c r="D15" s="12">
        <v>45788</v>
      </c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4:14" ht="18">
      <c r="D16" s="12">
        <v>45789</v>
      </c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4:14" ht="18">
      <c r="D17" s="12">
        <v>45790</v>
      </c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4:14" ht="18">
      <c r="D18" s="12">
        <v>45791</v>
      </c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4:14" ht="18">
      <c r="D19" s="12">
        <v>45792</v>
      </c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4:14" ht="18">
      <c r="D20" s="12">
        <v>45793</v>
      </c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4:14" ht="18">
      <c r="D21" s="12">
        <v>45794</v>
      </c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4:14" ht="18">
      <c r="D22" s="12">
        <v>45795</v>
      </c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4:14" ht="18">
      <c r="D23" s="12">
        <v>45796</v>
      </c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4:14" ht="18">
      <c r="D24" s="12">
        <v>45797</v>
      </c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4:14" ht="18">
      <c r="D25" s="12">
        <v>45798</v>
      </c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4:14" ht="18">
      <c r="D26" s="12">
        <v>45799</v>
      </c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4:14" ht="18">
      <c r="D27" s="12">
        <v>45800</v>
      </c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4:14" ht="18">
      <c r="D28" s="12">
        <v>45801</v>
      </c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4:14" ht="18">
      <c r="D29" s="12">
        <v>45802</v>
      </c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4:14" ht="18">
      <c r="D30" s="12">
        <v>45803</v>
      </c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4:14" ht="18">
      <c r="D31" s="12">
        <v>45804</v>
      </c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4:14" ht="18">
      <c r="D32" s="12">
        <v>45805</v>
      </c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4:14" ht="18">
      <c r="D33" s="12">
        <v>45806</v>
      </c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4:14" ht="18">
      <c r="D34" s="12">
        <v>45807</v>
      </c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4:14" ht="18">
      <c r="D35" s="12">
        <v>45808</v>
      </c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4:14" ht="18">
      <c r="D36" s="6" t="s">
        <v>14</v>
      </c>
      <c r="E36" s="6">
        <f>SUM(E5:E35)</f>
        <v>0</v>
      </c>
      <c r="F36" s="6">
        <f>SUM(F5:F35)</f>
        <v>0</v>
      </c>
      <c r="G36" s="6">
        <f t="shared" ref="G36:N36" si="0">SUM(G5:G35)</f>
        <v>0</v>
      </c>
      <c r="H36" s="6">
        <f t="shared" si="0"/>
        <v>0</v>
      </c>
      <c r="I36" s="6">
        <f t="shared" si="0"/>
        <v>0</v>
      </c>
      <c r="J36" s="6">
        <f t="shared" si="0"/>
        <v>0</v>
      </c>
      <c r="K36" s="6">
        <f t="shared" si="0"/>
        <v>0</v>
      </c>
      <c r="L36" s="6">
        <f t="shared" si="0"/>
        <v>0</v>
      </c>
      <c r="M36" s="6">
        <f t="shared" si="0"/>
        <v>0</v>
      </c>
      <c r="N36" s="6">
        <f t="shared" si="0"/>
        <v>0</v>
      </c>
    </row>
    <row r="37" spans="4:14" ht="18">
      <c r="D37" s="8" t="s">
        <v>12</v>
      </c>
      <c r="E37" s="8">
        <f>SUM(E36:N36)</f>
        <v>0</v>
      </c>
    </row>
  </sheetData>
  <mergeCells count="3">
    <mergeCell ref="D1:N1"/>
    <mergeCell ref="D2:N2"/>
    <mergeCell ref="D3:N3"/>
  </mergeCells>
  <phoneticPr fontId="8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D1:I14"/>
  <sheetViews>
    <sheetView tabSelected="1" workbookViewId="0">
      <selection activeCell="K17" sqref="K17"/>
    </sheetView>
  </sheetViews>
  <sheetFormatPr defaultRowHeight="14.4"/>
  <cols>
    <col min="4" max="4" width="19.44140625" customWidth="1"/>
    <col min="5" max="5" width="14" customWidth="1"/>
    <col min="6" max="6" width="13.6640625" bestFit="1" customWidth="1"/>
    <col min="7" max="7" width="12.6640625" customWidth="1"/>
    <col min="8" max="8" width="14" customWidth="1"/>
    <col min="9" max="9" width="12.5546875" customWidth="1"/>
  </cols>
  <sheetData>
    <row r="1" spans="4:9" s="7" customFormat="1" ht="45.75" customHeight="1">
      <c r="D1" s="24" t="s">
        <v>18</v>
      </c>
      <c r="E1" s="17"/>
      <c r="F1" s="17"/>
      <c r="G1" s="17"/>
      <c r="H1" s="17"/>
      <c r="I1" s="18"/>
    </row>
    <row r="2" spans="4:9" ht="28.2">
      <c r="D2" s="19" t="s">
        <v>11</v>
      </c>
      <c r="E2" s="19"/>
      <c r="F2" s="19"/>
      <c r="G2" s="19"/>
      <c r="H2" s="19"/>
      <c r="I2" s="19"/>
    </row>
    <row r="3" spans="4:9" ht="24.6">
      <c r="D3" s="20">
        <v>45748</v>
      </c>
      <c r="E3" s="20"/>
      <c r="F3" s="20"/>
      <c r="G3" s="20"/>
      <c r="H3" s="20"/>
      <c r="I3" s="20"/>
    </row>
    <row r="4" spans="4:9" ht="21">
      <c r="D4" s="13" t="s">
        <v>6</v>
      </c>
      <c r="E4" s="15" t="s">
        <v>2</v>
      </c>
      <c r="F4" s="15" t="s">
        <v>7</v>
      </c>
      <c r="G4" s="15" t="s">
        <v>8</v>
      </c>
      <c r="H4" s="15" t="s">
        <v>9</v>
      </c>
      <c r="I4" s="15" t="s">
        <v>10</v>
      </c>
    </row>
    <row r="5" spans="4:9" ht="18">
      <c r="D5" s="14" t="s">
        <v>19</v>
      </c>
      <c r="E5" s="5">
        <f>Meal!E36</f>
        <v>0</v>
      </c>
      <c r="F5" s="5" t="e">
        <f>'Shopping Expense'!$E$37/Meal!$E$37</f>
        <v>#DIV/0!</v>
      </c>
      <c r="G5" s="5" t="e">
        <f>ROUNDUP(E5*F5,0)</f>
        <v>#DIV/0!</v>
      </c>
      <c r="H5" s="5">
        <f>Deposit!E36</f>
        <v>0</v>
      </c>
      <c r="I5" s="5" t="e">
        <f>H5-G5</f>
        <v>#DIV/0!</v>
      </c>
    </row>
    <row r="6" spans="4:9" ht="18">
      <c r="D6" s="14" t="s">
        <v>20</v>
      </c>
      <c r="E6" s="5">
        <f>Meal!F36</f>
        <v>0</v>
      </c>
      <c r="F6" s="5" t="e">
        <f>'Shopping Expense'!$E$37/Meal!$E$37</f>
        <v>#DIV/0!</v>
      </c>
      <c r="G6" s="5" t="e">
        <f t="shared" ref="G6:G14" si="0">ROUNDUP(E6*F6,0)</f>
        <v>#DIV/0!</v>
      </c>
      <c r="H6" s="5">
        <f>Deposit!F36</f>
        <v>0</v>
      </c>
      <c r="I6" s="5" t="e">
        <f t="shared" ref="I6:I14" si="1">H6-G6</f>
        <v>#DIV/0!</v>
      </c>
    </row>
    <row r="7" spans="4:9" ht="18">
      <c r="D7" s="14" t="s">
        <v>21</v>
      </c>
      <c r="E7" s="5">
        <f>Meal!G36</f>
        <v>0</v>
      </c>
      <c r="F7" s="5" t="e">
        <f>'Shopping Expense'!$E$37/Meal!$E$37</f>
        <v>#DIV/0!</v>
      </c>
      <c r="G7" s="5" t="e">
        <f t="shared" si="0"/>
        <v>#DIV/0!</v>
      </c>
      <c r="H7" s="5">
        <f>Deposit!G36</f>
        <v>0</v>
      </c>
      <c r="I7" s="5" t="e">
        <f t="shared" si="1"/>
        <v>#DIV/0!</v>
      </c>
    </row>
    <row r="8" spans="4:9" ht="18">
      <c r="D8" s="14" t="s">
        <v>22</v>
      </c>
      <c r="E8" s="5">
        <f>Meal!H36</f>
        <v>0</v>
      </c>
      <c r="F8" s="5" t="e">
        <f>'Shopping Expense'!$E$37/Meal!$E$37</f>
        <v>#DIV/0!</v>
      </c>
      <c r="G8" s="5" t="e">
        <f t="shared" si="0"/>
        <v>#DIV/0!</v>
      </c>
      <c r="H8" s="5">
        <f>Deposit!H36</f>
        <v>0</v>
      </c>
      <c r="I8" s="5" t="e">
        <f t="shared" si="1"/>
        <v>#DIV/0!</v>
      </c>
    </row>
    <row r="9" spans="4:9" ht="18">
      <c r="D9" s="14" t="s">
        <v>23</v>
      </c>
      <c r="E9" s="5">
        <f>Meal!I36</f>
        <v>0</v>
      </c>
      <c r="F9" s="5" t="e">
        <f>'Shopping Expense'!$E$37/Meal!$E$37</f>
        <v>#DIV/0!</v>
      </c>
      <c r="G9" s="5" t="e">
        <f t="shared" si="0"/>
        <v>#DIV/0!</v>
      </c>
      <c r="H9" s="5">
        <f>Deposit!I36</f>
        <v>0</v>
      </c>
      <c r="I9" s="5" t="e">
        <f t="shared" si="1"/>
        <v>#DIV/0!</v>
      </c>
    </row>
    <row r="10" spans="4:9" ht="18">
      <c r="D10" s="14" t="s">
        <v>24</v>
      </c>
      <c r="E10" s="5">
        <f>Meal!J36</f>
        <v>0</v>
      </c>
      <c r="F10" s="5" t="e">
        <f>'Shopping Expense'!$E$37/Meal!$E$37</f>
        <v>#DIV/0!</v>
      </c>
      <c r="G10" s="5" t="e">
        <f t="shared" si="0"/>
        <v>#DIV/0!</v>
      </c>
      <c r="H10" s="5">
        <f>Deposit!J36</f>
        <v>0</v>
      </c>
      <c r="I10" s="5" t="e">
        <f t="shared" si="1"/>
        <v>#DIV/0!</v>
      </c>
    </row>
    <row r="11" spans="4:9" ht="18">
      <c r="D11" s="14" t="s">
        <v>25</v>
      </c>
      <c r="E11" s="5">
        <f>Meal!K36</f>
        <v>0</v>
      </c>
      <c r="F11" s="5" t="e">
        <f>'Shopping Expense'!$E$37/Meal!$E$37</f>
        <v>#DIV/0!</v>
      </c>
      <c r="G11" s="5" t="e">
        <f t="shared" si="0"/>
        <v>#DIV/0!</v>
      </c>
      <c r="H11" s="5">
        <f>Deposit!K36</f>
        <v>0</v>
      </c>
      <c r="I11" s="5" t="e">
        <f t="shared" si="1"/>
        <v>#DIV/0!</v>
      </c>
    </row>
    <row r="12" spans="4:9" ht="18">
      <c r="D12" s="14" t="s">
        <v>15</v>
      </c>
      <c r="E12" s="5">
        <f>Meal!L36</f>
        <v>0</v>
      </c>
      <c r="F12" s="5" t="e">
        <f>'Shopping Expense'!$E$37/Meal!$E$37</f>
        <v>#DIV/0!</v>
      </c>
      <c r="G12" s="5" t="e">
        <f t="shared" si="0"/>
        <v>#DIV/0!</v>
      </c>
      <c r="H12" s="5">
        <f>Deposit!L36</f>
        <v>0</v>
      </c>
      <c r="I12" s="5" t="e">
        <f t="shared" si="1"/>
        <v>#DIV/0!</v>
      </c>
    </row>
    <row r="13" spans="4:9" ht="18">
      <c r="D13" s="14" t="s">
        <v>16</v>
      </c>
      <c r="E13" s="5">
        <f>Meal!M36</f>
        <v>0</v>
      </c>
      <c r="F13" s="5" t="e">
        <f>'Shopping Expense'!$E$37/Meal!$E$37</f>
        <v>#DIV/0!</v>
      </c>
      <c r="G13" s="5" t="e">
        <f t="shared" si="0"/>
        <v>#DIV/0!</v>
      </c>
      <c r="H13" s="5">
        <f>Deposit!M36</f>
        <v>0</v>
      </c>
      <c r="I13" s="5" t="e">
        <f t="shared" si="1"/>
        <v>#DIV/0!</v>
      </c>
    </row>
    <row r="14" spans="4:9" ht="18">
      <c r="D14" s="14" t="s">
        <v>17</v>
      </c>
      <c r="E14" s="5">
        <f>Meal!N36</f>
        <v>0</v>
      </c>
      <c r="F14" s="5" t="e">
        <f>'Shopping Expense'!$E$37/Meal!$E$37</f>
        <v>#DIV/0!</v>
      </c>
      <c r="G14" s="5" t="e">
        <f t="shared" si="0"/>
        <v>#DIV/0!</v>
      </c>
      <c r="H14" s="5">
        <f>Deposit!N36</f>
        <v>0</v>
      </c>
      <c r="I14" s="5" t="e">
        <f t="shared" si="1"/>
        <v>#DIV/0!</v>
      </c>
    </row>
  </sheetData>
  <mergeCells count="3">
    <mergeCell ref="D1:I1"/>
    <mergeCell ref="D2:I2"/>
    <mergeCell ref="D3:I3"/>
  </mergeCells>
  <phoneticPr fontId="8" type="noConversion"/>
  <conditionalFormatting sqref="I5:I14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Meal</vt:lpstr>
      <vt:lpstr>Shopping Expense</vt:lpstr>
      <vt:lpstr>Deposit</vt:lpstr>
      <vt:lpstr>Final Report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Rezaul Karim</dc:creator>
  <cp:lastModifiedBy>ENGINEER MD MAHFUZUR RAHMAN SIAM</cp:lastModifiedBy>
  <dcterms:created xsi:type="dcterms:W3CDTF">2019-12-03T07:32:47Z</dcterms:created>
  <dcterms:modified xsi:type="dcterms:W3CDTF">2025-04-30T13:27:17Z</dcterms:modified>
</cp:coreProperties>
</file>